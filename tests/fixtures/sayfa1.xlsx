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116" documentId="11_9F5155BF84DCCE23E851EEDB9531F45BCA7245BF" xr6:coauthVersionLast="47" xr6:coauthVersionMax="47" xr10:uidLastSave="{0514F48A-A8D6-4B66-B5A8-B56C0BB31D3A}"/>
  <bookViews>
    <workbookView xWindow="240" yWindow="105" windowWidth="14805" windowHeight="8010" xr2:uid="{00000000-000D-0000-FFFF-FFFF00000000}"/>
  </bookViews>
  <sheets>
    <sheet name="eko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P8" i="1"/>
  <c r="F8" i="1" a="1"/>
  <c r="F8" i="1"/>
  <c r="N7" i="1"/>
  <c r="N9" i="1"/>
  <c r="N8" i="1"/>
  <c r="I8" i="1"/>
  <c r="J15" i="1"/>
  <c r="O1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<sst xmlns="http://schemas.openxmlformats.org/spreadsheetml/2006/main" count="18" uniqueCount="12">
  <si>
    <t>a</t>
  </si>
  <si>
    <t>b</t>
  </si>
  <si>
    <t>c</t>
  </si>
  <si>
    <t>şehir</t>
  </si>
  <si>
    <t>k</t>
  </si>
  <si>
    <t>istanbul</t>
  </si>
  <si>
    <t>s</t>
  </si>
  <si>
    <t>izmir</t>
  </si>
  <si>
    <t>r</t>
  </si>
  <si>
    <t>u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</si>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</sst>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[$-F800]dddd\,\ mmmm\ dd\,\ 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/>
    <xf numFmtId="165" fontId="0" fillId="0" borderId="0" xfId="0" applyNumberFormat="1" applyAlignment="1"/>
    <xf numFmtId="49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P15"/>
  <sheetViews>
    <sheetView tabSelected="1" topLeftCell="C1" workbookViewId="0">
      <selection activeCell="K13" sqref="K13"/>
    </sheetView>
  </sheetViews>
  <sheetFormatPr defaultRowHeight="15"/>
  <cols>
    <col min="5" max="5" width="11" customWidth="1"/>
    <col min="6" max="6" width="20.85546875" bestFit="1" customWidth="1"/>
    <col min="8" max="8" width="16" bestFit="1" customWidth="1"/>
    <col min="15" max="15" width="25.28515625" bestFit="1" customWidth="1"/>
    <col min="16" max="16" width="9.5703125" bestFit="1" customWidth="1"/>
  </cols>
  <sheetData>
    <row r="6" spans="4:16">
      <c r="D6" s="4">
        <v>7</v>
      </c>
      <c r="E6" s="3" t="s">
        <v>0</v>
      </c>
      <c r="F6" s="3" t="s">
        <v>1</v>
      </c>
      <c r="G6" s="3" t="s">
        <v>2</v>
      </c>
      <c r="H6" s="2">
        <v>45944</v>
      </c>
      <c r="I6" s="1"/>
      <c r="K6" s="5" t="s">
        <v>3</v>
      </c>
      <c r="L6" s="5" t="s">
        <v>0</v>
      </c>
      <c r="M6" s="5" t="s">
        <v>1</v>
      </c>
      <c r="N6" s="5" t="s">
        <v>2</v>
      </c>
    </row>
    <row r="7" spans="4:16">
      <c r="D7">
        <v>7</v>
      </c>
      <c r="E7" t="s">
        <v>4</v>
      </c>
      <c r="K7" t="s">
        <v>5</v>
      </c>
      <c r="L7">
        <v>32</v>
      </c>
      <c r="M7">
        <v>13</v>
      </c>
      <c r="N7">
        <f>L7+M7</f>
        <v>45</v>
      </c>
    </row>
    <row r="8" spans="4:16">
      <c r="D8">
        <v>7</v>
      </c>
      <c r="E8" t="s">
        <v>6</v>
      </c>
      <c r="F8" t="e" cm="1">
        <f t="array" ref="F8">F11(D6:D9,7)</f>
        <v>#REF!</v>
      </c>
      <c r="I8">
        <f>D9+D8</f>
        <v>17</v>
      </c>
      <c r="K8" t="s">
        <v>7</v>
      </c>
      <c r="L8">
        <v>45</v>
      </c>
      <c r="M8">
        <v>32</v>
      </c>
      <c r="N8">
        <f>L8+M8</f>
        <v>77</v>
      </c>
      <c r="P8">
        <f>COUNTIF(D6:D8,"7")</f>
        <v>3</v>
      </c>
    </row>
    <row r="9" spans="4:16">
      <c r="D9">
        <v>10</v>
      </c>
      <c r="E9" t="s">
        <v>8</v>
      </c>
      <c r="K9" t="s">
        <v>7</v>
      </c>
      <c r="L9">
        <v>24</v>
      </c>
      <c r="M9">
        <v>54</v>
      </c>
      <c r="N9">
        <f>L9+M9</f>
        <v>78</v>
      </c>
    </row>
    <row r="10" spans="4:16">
      <c r="D10" t="s">
        <v>9</v>
      </c>
      <c r="E10" t="s">
        <v>10</v>
      </c>
    </row>
    <row r="11" spans="4:16">
      <c r="E11" t="s">
        <v>2</v>
      </c>
    </row>
    <row r="12" spans="4:16">
      <c r="E12" t="s">
        <v>11</v>
      </c>
      <c r="O12">
        <f>SUMIF(L7:L9,"&gt;30",N7:N9)</f>
        <v>122</v>
      </c>
    </row>
    <row r="13" spans="4:16">
      <c r="K13" t="s">
        <v>5</v>
      </c>
    </row>
    <row r="14" spans="4:16">
      <c r="O14" t="e">
        <f>SUMIFS(L6:L9,K6:L9,"izmir",M6:M9,"&gt;30")</f>
        <v>#VALUE!</v>
      </c>
    </row>
    <row r="15" spans="4:16">
      <c r="J15" t="str">
        <f>E8</f>
        <v>s</v>
      </c>
    </row>
  </sheetData>
  <sortState xmlns:xlrd2="http://schemas.microsoft.com/office/spreadsheetml/2017/richdata2" ref="K7:N9">
    <sortCondition ref="K7:K9"/>
  </sortState>
  <dataValidations count="1">
    <dataValidation type="list" allowBlank="1" showInputMessage="1" showErrorMessage="1" sqref="K13" xr:uid="{CB819528-9823-4376-865A-1F0F7ADB73D3}">
      <formula1>$K$7:$K$9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4647-34F4-4ED8-BA3E-C3762F71C4C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Ekin Doğan</cp:lastModifiedBy>
  <cp:revision/>
  <dcterms:created xsi:type="dcterms:W3CDTF">2025-10-13T17:09:21Z</dcterms:created>
  <dcterms:modified xsi:type="dcterms:W3CDTF">2025-10-14T19:54:14Z</dcterms:modified>
  <cp:category/>
  <cp:contentStatus/>
</cp:coreProperties>
</file>